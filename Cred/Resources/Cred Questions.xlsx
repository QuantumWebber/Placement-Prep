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" sheetId="1" r:id="rId4"/>
  </sheets>
  <definedNames>
    <definedName hidden="1" localSheetId="0" name="_xlnm._FilterDatabase">CRED!$A$4:$L$55</definedName>
  </definedNames>
  <calcPr/>
  <extLst>
    <ext uri="GoogleSheetsCustomDataVersion2">
      <go:sheetsCustomData xmlns:go="http://customooxmlschemas.google.com/" r:id="rId5" roundtripDataChecksum="ESgsOJWeEjHyL67Y6ck5WaI0dSTOH/am+Mq2cje6wNE="/>
    </ext>
  </extLst>
</workbook>
</file>

<file path=xl/sharedStrings.xml><?xml version="1.0" encoding="utf-8"?>
<sst xmlns="http://schemas.openxmlformats.org/spreadsheetml/2006/main" count="342" uniqueCount="126">
  <si>
    <t>PLACEMENT SHEET  ·  CRED</t>
  </si>
  <si>
    <t>Total</t>
  </si>
  <si>
    <t>Done</t>
  </si>
  <si>
    <t>Progress</t>
  </si>
  <si>
    <t>Easy</t>
  </si>
  <si>
    <t>Medium</t>
  </si>
  <si>
    <t>Hard</t>
  </si>
  <si>
    <t>#</t>
  </si>
  <si>
    <t>Round</t>
  </si>
  <si>
    <t>Question Name</t>
  </si>
  <si>
    <t>Topic / Pattern</t>
  </si>
  <si>
    <t>Difficulty</t>
  </si>
  <si>
    <t>LC #</t>
  </si>
  <si>
    <t>Link</t>
  </si>
  <si>
    <t>Status</t>
  </si>
  <si>
    <t>Attempts</t>
  </si>
  <si>
    <t>Confidence</t>
  </si>
  <si>
    <t>Last Revised</t>
  </si>
  <si>
    <t>Notes</t>
  </si>
  <si>
    <t>OA</t>
  </si>
  <si>
    <t>Maximum Swap</t>
  </si>
  <si>
    <t>Array / Greedy</t>
  </si>
  <si>
    <t>Open</t>
  </si>
  <si>
    <t>Not Started</t>
  </si>
  <si>
    <t>Is Subsequence</t>
  </si>
  <si>
    <t>Two Pointers / String</t>
  </si>
  <si>
    <t>Open the Lock</t>
  </si>
  <si>
    <t>BFS / Graph</t>
  </si>
  <si>
    <t>Longest Substring Without Repeating Characters</t>
  </si>
  <si>
    <t>Sliding Window / String</t>
  </si>
  <si>
    <t>Group Anagrams</t>
  </si>
  <si>
    <t>HashMap / String</t>
  </si>
  <si>
    <t>Subarray Sum Equals K</t>
  </si>
  <si>
    <t>Prefix Sum / HashMap</t>
  </si>
  <si>
    <t>Phone Screen</t>
  </si>
  <si>
    <t>Sliding Window Maximum</t>
  </si>
  <si>
    <t>Deque / Sliding Window</t>
  </si>
  <si>
    <t>Top K Frequent Words</t>
  </si>
  <si>
    <t>Heap / HashMap</t>
  </si>
  <si>
    <t>Design HashMap</t>
  </si>
  <si>
    <t>Design / Hashing</t>
  </si>
  <si>
    <t>Climbing Stairs</t>
  </si>
  <si>
    <t>DP / Fibonacci</t>
  </si>
  <si>
    <t>Shortest Path Between Two Files in a File System</t>
  </si>
  <si>
    <t>Tree / Graph / BFS</t>
  </si>
  <si>
    <t>—</t>
  </si>
  <si>
    <t>Longest Consecutive Sequence</t>
  </si>
  <si>
    <t>HashSet / Array</t>
  </si>
  <si>
    <t>Find Median from Data Stream</t>
  </si>
  <si>
    <t>Heap / Design</t>
  </si>
  <si>
    <t>Onsite</t>
  </si>
  <si>
    <t>Word Search</t>
  </si>
  <si>
    <t>Backtracking / Matrix</t>
  </si>
  <si>
    <t>Number of Provinces</t>
  </si>
  <si>
    <t>Union-Find / Graph</t>
  </si>
  <si>
    <t>Binary Search Tree Iterator</t>
  </si>
  <si>
    <t>Tree / Stack / Design</t>
  </si>
  <si>
    <t>Decode Ways</t>
  </si>
  <si>
    <t>DP / String</t>
  </si>
  <si>
    <t>Combination Sum</t>
  </si>
  <si>
    <t>Backtracking</t>
  </si>
  <si>
    <t>Spiral Matrix</t>
  </si>
  <si>
    <t>Array / Simulation</t>
  </si>
  <si>
    <t>Reverse Linked List II</t>
  </si>
  <si>
    <t>Linked List</t>
  </si>
  <si>
    <t>Copy List with Random Pointer</t>
  </si>
  <si>
    <t>Linked List / HashMap</t>
  </si>
  <si>
    <t>Validate Binary Search Tree</t>
  </si>
  <si>
    <t>Tree / DFS</t>
  </si>
  <si>
    <t>Diameter of Binary Tree</t>
  </si>
  <si>
    <t>Path Sum III</t>
  </si>
  <si>
    <t>Tree / Prefix Sum</t>
  </si>
  <si>
    <t>Rotting Oranges</t>
  </si>
  <si>
    <t>BFS / Matrix</t>
  </si>
  <si>
    <t>Low</t>
  </si>
  <si>
    <t>Accounts Merge</t>
  </si>
  <si>
    <t>Union-Find / HashMap</t>
  </si>
  <si>
    <t>Time Based Key-Value Store</t>
  </si>
  <si>
    <t>HashMap / Binary Search</t>
  </si>
  <si>
    <t>Insert Delete GetRandom O(1)</t>
  </si>
  <si>
    <t>HashMap / Array / Design</t>
  </si>
  <si>
    <t>Longest Repeating Character Replacement</t>
  </si>
  <si>
    <t>Sliding Window</t>
  </si>
  <si>
    <t>Revise Again</t>
  </si>
  <si>
    <t>Minimum Window Substring</t>
  </si>
  <si>
    <t>Sliding Window / HashMap</t>
  </si>
  <si>
    <t>K Closest Points to Origin</t>
  </si>
  <si>
    <t>Heap / Array</t>
  </si>
  <si>
    <t>Daily Temperatures</t>
  </si>
  <si>
    <t>Monotonic Stack</t>
  </si>
  <si>
    <t>Evaluate Reverse Polish Notation</t>
  </si>
  <si>
    <t>Stack</t>
  </si>
  <si>
    <t>Container With Most Water</t>
  </si>
  <si>
    <t>Two Pointers / Array</t>
  </si>
  <si>
    <t>3Sum</t>
  </si>
  <si>
    <t>Two Pointers / Sorting</t>
  </si>
  <si>
    <t>Add Two Numbers</t>
  </si>
  <si>
    <t>Linked List / Math</t>
  </si>
  <si>
    <t>Flatten Binary Tree to Linked List</t>
  </si>
  <si>
    <t>LLD (Machine Coding)</t>
  </si>
  <si>
    <t>Design a Contact Management System</t>
  </si>
  <si>
    <t>OOP / Design / Search</t>
  </si>
  <si>
    <t>Design a Parking Lot System</t>
  </si>
  <si>
    <t>OOP / Design</t>
  </si>
  <si>
    <t>Design an Idempotent Payment Processing System</t>
  </si>
  <si>
    <t>OOP / Design / Fintech</t>
  </si>
  <si>
    <t>Design a CRED Coins Rewards System</t>
  </si>
  <si>
    <t>Design a Bill Due-Date Reminder &amp; Notification System</t>
  </si>
  <si>
    <t>OOP / Design / Scheduling</t>
  </si>
  <si>
    <t>HLD (System Design)</t>
  </si>
  <si>
    <t>Design CRED's Credit Card Bill Payment System</t>
  </si>
  <si>
    <t>System Design / Fintech</t>
  </si>
  <si>
    <t>Design a De-duplication Service for Duplicate Payments</t>
  </si>
  <si>
    <t>Design a Financial Health / Credit Score Aggregation System</t>
  </si>
  <si>
    <t>Rotate List</t>
  </si>
  <si>
    <t>Number of Islands II</t>
  </si>
  <si>
    <t>Union-Find / Online Queries</t>
  </si>
  <si>
    <t>Course Schedule II</t>
  </si>
  <si>
    <t>Graph / Topological Sort</t>
  </si>
  <si>
    <t>Longest Increasing Path in a Matrix</t>
  </si>
  <si>
    <t>DFS / Memoization</t>
  </si>
  <si>
    <t>Trapping Rain Water II</t>
  </si>
  <si>
    <t>Heap / Matrix / BFS</t>
  </si>
  <si>
    <t>LeetCode Tagged</t>
  </si>
  <si>
    <t>Count Elements With Maximum Frequency</t>
  </si>
  <si>
    <t>Array / Hash Table / Counting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</si>
</sst>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0.0"/>
      <color rgb="FF1F3864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0.0"/>
      <color rgb="FF9C6500"/>
      <name val="Arial"/>
    </font>
    <font>
      <u/>
      <sz val="10.0"/>
      <color rgb="FF0563C1"/>
      <name val="Arial"/>
    </font>
    <font>
      <b/>
      <sz val="10.0"/>
      <color rgb="FF008A3E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color theme="1"/>
      <name val="Calibri"/>
      <scheme val="minor"/>
    </font>
    <font>
      <b/>
      <sz val="10.0"/>
      <color rgb="FFC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8EEF7"/>
        <bgColor rgb="FFE8EEF7"/>
      </patternFill>
    </fill>
    <fill>
      <patternFill patternType="solid">
        <fgColor rgb="FFFFF2CC"/>
        <bgColor rgb="FFFFF2CC"/>
      </patternFill>
    </fill>
    <fill>
      <patternFill patternType="solid">
        <fgColor rgb="FFFFF0C2"/>
        <bgColor rgb="FFFFF0C2"/>
      </patternFill>
    </fill>
    <fill>
      <patternFill patternType="solid">
        <fgColor rgb="FFF7F9FC"/>
        <bgColor rgb="FFF7F9FC"/>
      </patternFill>
    </fill>
    <fill>
      <patternFill patternType="solid">
        <fgColor rgb="FFD9F2E3"/>
        <bgColor rgb="FFD9F2E3"/>
      </patternFill>
    </fill>
    <fill>
      <patternFill patternType="solid">
        <fgColor rgb="FF00FF00"/>
        <bgColor rgb="FF00FF00"/>
      </patternFill>
    </fill>
    <fill>
      <patternFill patternType="solid">
        <fgColor rgb="FFDDEBF7"/>
        <bgColor rgb="FFDDEBF7"/>
      </patternFill>
    </fill>
    <fill>
      <patternFill patternType="solid">
        <fgColor rgb="FFFBDCDC"/>
        <bgColor rgb="FFFBDCD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0"/>
    </xf>
    <xf borderId="4" fillId="3" fontId="4" numFmtId="0" xfId="0" applyAlignment="1" applyBorder="1" applyFont="1">
      <alignment horizontal="left" shrinkToFit="0" vertical="bottom" wrapText="0"/>
    </xf>
    <xf borderId="4" fillId="3" fontId="4" numFmtId="164" xfId="0" applyAlignment="1" applyBorder="1" applyFont="1" applyNumberFormat="1">
      <alignment horizontal="left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5" fillId="4" fontId="6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5" fontId="7" numFmtId="0" xfId="0" applyAlignment="1" applyBorder="1" applyFill="1" applyFont="1">
      <alignment horizontal="center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5" fillId="6" fontId="6" numFmtId="0" xfId="0" applyAlignment="1" applyBorder="1" applyFont="1">
      <alignment horizontal="left" shrinkToFit="0" vertical="center" wrapText="1"/>
    </xf>
    <xf borderId="5" fillId="7" fontId="9" numFmtId="0" xfId="0" applyAlignment="1" applyBorder="1" applyFill="1" applyFont="1">
      <alignment horizontal="center" shrinkToFit="0" vertical="center" wrapText="0"/>
    </xf>
    <xf borderId="5" fillId="0" fontId="10" numFmtId="0" xfId="0" applyAlignment="1" applyBorder="1" applyFont="1">
      <alignment horizontal="center" readingOrder="0" shrinkToFit="0" vertical="center" wrapText="0"/>
    </xf>
    <xf borderId="5" fillId="8" fontId="6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ont="1">
      <alignment horizontal="left" shrinkToFit="0" vertical="center" wrapText="1"/>
    </xf>
    <xf borderId="5" fillId="8" fontId="7" numFmtId="0" xfId="0" applyAlignment="1" applyBorder="1" applyFont="1">
      <alignment horizontal="center" shrinkToFit="0" vertical="center" wrapText="0"/>
    </xf>
    <xf borderId="5" fillId="8" fontId="11" numFmtId="0" xfId="0" applyAlignment="1" applyBorder="1" applyFont="1">
      <alignment horizontal="center" shrinkToFit="0" vertical="center" wrapText="0"/>
    </xf>
    <xf borderId="5" fillId="8" fontId="6" numFmtId="0" xfId="0" applyAlignment="1" applyBorder="1" applyFont="1">
      <alignment readingOrder="0" shrinkToFit="0" vertical="center" wrapText="0"/>
    </xf>
    <xf borderId="0" fillId="8" fontId="12" numFmtId="0" xfId="0" applyFont="1"/>
    <xf borderId="5" fillId="8" fontId="13" numFmtId="0" xfId="0" applyAlignment="1" applyBorder="1" applyFont="1">
      <alignment horizontal="center" shrinkToFit="0" vertical="center" wrapText="0"/>
    </xf>
    <xf borderId="5" fillId="9" fontId="6" numFmtId="0" xfId="0" applyAlignment="1" applyBorder="1" applyFill="1" applyFont="1">
      <alignment horizontal="left" shrinkToFit="0" vertical="center" wrapText="1"/>
    </xf>
    <xf borderId="5" fillId="10" fontId="13" numFmtId="0" xfId="0" applyAlignment="1" applyBorder="1" applyFill="1" applyFont="1">
      <alignment horizontal="center" shrinkToFit="0" vertical="center" wrapText="0"/>
    </xf>
    <xf borderId="5" fillId="11" fontId="6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readingOrder="0" shrinkToFit="0" vertical="center" wrapText="0"/>
    </xf>
    <xf borderId="5" fillId="12" fontId="6" numFmtId="0" xfId="0" applyAlignment="1" applyBorder="1" applyFill="1" applyFont="1">
      <alignment horizontal="left" shrinkToFit="0" vertical="center" wrapText="1"/>
    </xf>
    <xf borderId="5" fillId="13" fontId="6" numFmtId="0" xfId="0" applyAlignment="1" applyBorder="1" applyFill="1" applyFont="1">
      <alignment horizontal="left" shrinkToFit="0" vertical="center" wrapText="1"/>
    </xf>
    <xf borderId="5" fillId="14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6F5DE"/>
          <bgColor rgb="FFD6F5DE"/>
        </patternFill>
      </fill>
      <border/>
    </dxf>
    <dxf>
      <font/>
      <fill>
        <patternFill patternType="solid">
          <fgColor rgb="FFFFF6D6"/>
          <bgColor rgb="FFFFF6D6"/>
        </patternFill>
      </fill>
      <border/>
    </dxf>
    <dxf>
      <font/>
      <fill>
        <patternFill patternType="solid">
          <fgColor rgb="FFFCE0E0"/>
          <bgColor rgb="FFFCE0E0"/>
        </patternFill>
      </fill>
      <border/>
    </dxf>
  </dxfs>
  <tableStyles count="1">
    <tableStyle count="4" pivot="0" name="CR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L55" displayName="cred_oa" name="cred_oa" id="1">
  <autoFilter ref="$A$4:$L$55"/>
  <tableColumns count="12">
    <tableColumn name="#" id="1"/>
    <tableColumn name="Round" id="2"/>
    <tableColumn name="Question Name" id="3"/>
    <tableColumn name="Topic / Pattern" id="4"/>
    <tableColumn name="Difficulty" id="5"/>
    <tableColumn name="LC #" id="6"/>
    <tableColumn name="Link" id="7"/>
    <tableColumn name="Status" id="8"/>
    <tableColumn name="Attempts" id="9"/>
    <tableColumn name="Confidence" id="10"/>
    <tableColumn name="Last Revised" id="11"/>
    <tableColumn name="Notes" id="12"/>
  </tableColumns>
  <tableStyleInfo name="CR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ourse-schedule-ii/" TargetMode="External"/><Relationship Id="rId20" Type="http://schemas.openxmlformats.org/officeDocument/2006/relationships/hyperlink" Target="https://leetcode.com/problems/reverse-linked-list-ii/" TargetMode="External"/><Relationship Id="rId42" Type="http://schemas.openxmlformats.org/officeDocument/2006/relationships/hyperlink" Target="https://leetcode.com/problems/trapping-rain-water-ii/" TargetMode="External"/><Relationship Id="rId41" Type="http://schemas.openxmlformats.org/officeDocument/2006/relationships/hyperlink" Target="https://leetcode.com/problems/longest-increasing-path-in-a-matrix/" TargetMode="External"/><Relationship Id="rId22" Type="http://schemas.openxmlformats.org/officeDocument/2006/relationships/hyperlink" Target="https://leetcode.com/problems/validate-binary-search-tree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leetcode.com/problems/copy-list-with-random-pointer/" TargetMode="External"/><Relationship Id="rId43" Type="http://schemas.openxmlformats.org/officeDocument/2006/relationships/hyperlink" Target="https://leetcode.com/problems/count-elements-with-maximum-frequency/" TargetMode="External"/><Relationship Id="rId24" Type="http://schemas.openxmlformats.org/officeDocument/2006/relationships/hyperlink" Target="https://leetcode.com/problems/path-sum-iii/" TargetMode="External"/><Relationship Id="rId46" Type="http://schemas.openxmlformats.org/officeDocument/2006/relationships/table" Target="../tables/table1.xml"/><Relationship Id="rId23" Type="http://schemas.openxmlformats.org/officeDocument/2006/relationships/hyperlink" Target="https://leetcode.com/problems/diameter-of-binary-tree/" TargetMode="External"/><Relationship Id="rId1" Type="http://schemas.openxmlformats.org/officeDocument/2006/relationships/hyperlink" Target="https://leetcode.com/problems/maximum-swap/" TargetMode="External"/><Relationship Id="rId2" Type="http://schemas.openxmlformats.org/officeDocument/2006/relationships/hyperlink" Target="https://leetcode.com/problems/is-subsequence/" TargetMode="External"/><Relationship Id="rId3" Type="http://schemas.openxmlformats.org/officeDocument/2006/relationships/hyperlink" Target="https://leetcode.com/problems/open-the-lock/" TargetMode="External"/><Relationship Id="rId4" Type="http://schemas.openxmlformats.org/officeDocument/2006/relationships/hyperlink" Target="https://leetcode.com/problems/longest-substring-without-repeating-characters/" TargetMode="External"/><Relationship Id="rId9" Type="http://schemas.openxmlformats.org/officeDocument/2006/relationships/hyperlink" Target="https://leetcode.com/problems/design-hashmap/" TargetMode="External"/><Relationship Id="rId26" Type="http://schemas.openxmlformats.org/officeDocument/2006/relationships/hyperlink" Target="https://leetcode.com/problems/accounts-merge/" TargetMode="External"/><Relationship Id="rId25" Type="http://schemas.openxmlformats.org/officeDocument/2006/relationships/hyperlink" Target="https://leetcode.com/problems/rotting-oranges/" TargetMode="External"/><Relationship Id="rId28" Type="http://schemas.openxmlformats.org/officeDocument/2006/relationships/hyperlink" Target="https://leetcode.com/problems/insert-delete-getrandom-o1/" TargetMode="External"/><Relationship Id="rId27" Type="http://schemas.openxmlformats.org/officeDocument/2006/relationships/hyperlink" Target="https://leetcode.com/problems/time-based-key-value-store/" TargetMode="External"/><Relationship Id="rId5" Type="http://schemas.openxmlformats.org/officeDocument/2006/relationships/hyperlink" Target="https://leetcode.com/problems/group-anagrams/" TargetMode="External"/><Relationship Id="rId6" Type="http://schemas.openxmlformats.org/officeDocument/2006/relationships/hyperlink" Target="https://leetcode.com/problems/subarray-sum-equals-k/" TargetMode="External"/><Relationship Id="rId29" Type="http://schemas.openxmlformats.org/officeDocument/2006/relationships/hyperlink" Target="https://leetcode.com/problems/longest-repeating-character-replacement/" TargetMode="External"/><Relationship Id="rId7" Type="http://schemas.openxmlformats.org/officeDocument/2006/relationships/hyperlink" Target="https://leetcode.com/problems/sliding-window-maximum/" TargetMode="External"/><Relationship Id="rId8" Type="http://schemas.openxmlformats.org/officeDocument/2006/relationships/hyperlink" Target="https://leetcode.com/problems/top-k-frequent-words/" TargetMode="External"/><Relationship Id="rId31" Type="http://schemas.openxmlformats.org/officeDocument/2006/relationships/hyperlink" Target="https://leetcode.com/problems/k-closest-points-to-origin/" TargetMode="External"/><Relationship Id="rId30" Type="http://schemas.openxmlformats.org/officeDocument/2006/relationships/hyperlink" Target="https://leetcode.com/problems/minimum-window-substring/" TargetMode="External"/><Relationship Id="rId11" Type="http://schemas.openxmlformats.org/officeDocument/2006/relationships/hyperlink" Target="https://leetcode.com/problems/lowest-common-ancestor-of-a-binary-tree/" TargetMode="External"/><Relationship Id="rId33" Type="http://schemas.openxmlformats.org/officeDocument/2006/relationships/hyperlink" Target="https://leetcode.com/problems/evaluate-reverse-polish-notation/" TargetMode="External"/><Relationship Id="rId10" Type="http://schemas.openxmlformats.org/officeDocument/2006/relationships/hyperlink" Target="https://leetcode.com/problems/climbing-stairs/" TargetMode="External"/><Relationship Id="rId32" Type="http://schemas.openxmlformats.org/officeDocument/2006/relationships/hyperlink" Target="https://leetcode.com/problems/daily-temperatures/" TargetMode="External"/><Relationship Id="rId13" Type="http://schemas.openxmlformats.org/officeDocument/2006/relationships/hyperlink" Target="https://leetcode.com/problems/find-median-from-data-stream/" TargetMode="External"/><Relationship Id="rId35" Type="http://schemas.openxmlformats.org/officeDocument/2006/relationships/hyperlink" Target="https://leetcode.com/problems/3sum/" TargetMode="External"/><Relationship Id="rId12" Type="http://schemas.openxmlformats.org/officeDocument/2006/relationships/hyperlink" Target="https://leetcode.com/problems/longest-consecutive-sequence/" TargetMode="External"/><Relationship Id="rId34" Type="http://schemas.openxmlformats.org/officeDocument/2006/relationships/hyperlink" Target="https://leetcode.com/problems/container-with-most-water/" TargetMode="External"/><Relationship Id="rId15" Type="http://schemas.openxmlformats.org/officeDocument/2006/relationships/hyperlink" Target="https://leetcode.com/problems/number-of-provinces/" TargetMode="External"/><Relationship Id="rId37" Type="http://schemas.openxmlformats.org/officeDocument/2006/relationships/hyperlink" Target="https://leetcode.com/problems/flatten-binary-tree-to-linked-list/" TargetMode="External"/><Relationship Id="rId14" Type="http://schemas.openxmlformats.org/officeDocument/2006/relationships/hyperlink" Target="https://leetcode.com/problems/word-search/" TargetMode="External"/><Relationship Id="rId36" Type="http://schemas.openxmlformats.org/officeDocument/2006/relationships/hyperlink" Target="https://leetcode.com/problems/add-two-numbers/" TargetMode="External"/><Relationship Id="rId17" Type="http://schemas.openxmlformats.org/officeDocument/2006/relationships/hyperlink" Target="https://leetcode.com/problems/decode-ways/" TargetMode="External"/><Relationship Id="rId39" Type="http://schemas.openxmlformats.org/officeDocument/2006/relationships/hyperlink" Target="https://leetcode.com/problems/number-of-islands-ii/" TargetMode="External"/><Relationship Id="rId16" Type="http://schemas.openxmlformats.org/officeDocument/2006/relationships/hyperlink" Target="https://leetcode.com/problems/binary-search-tree-iterator/" TargetMode="External"/><Relationship Id="rId38" Type="http://schemas.openxmlformats.org/officeDocument/2006/relationships/hyperlink" Target="https://leetcode.com/problems/rotate-list/" TargetMode="External"/><Relationship Id="rId19" Type="http://schemas.openxmlformats.org/officeDocument/2006/relationships/hyperlink" Target="https://leetcode.com/problems/spiral-matrix/" TargetMode="External"/><Relationship Id="rId18" Type="http://schemas.openxmlformats.org/officeDocument/2006/relationships/hyperlink" Target="https://leetcode.com/problems/combination-su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1.0"/>
    <col customWidth="1" min="3" max="3" width="46.0"/>
    <col customWidth="1" min="4" max="4" width="26.0"/>
    <col customWidth="1" min="5" max="5" width="11.0"/>
    <col customWidth="1" min="6" max="6" width="8.0"/>
    <col customWidth="1" min="7" max="7" width="10.57"/>
    <col customWidth="1" min="8" max="8" width="16.43"/>
    <col customWidth="1" min="9" max="9" width="10.0"/>
    <col customWidth="1" min="10" max="10" width="15.29"/>
    <col customWidth="1" min="11" max="11" width="13.0"/>
    <col customWidth="1" min="12" max="12" width="34.0"/>
    <col customWidth="1" min="1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9.5" customHeight="1">
      <c r="A2" s="4" t="s">
        <v>1</v>
      </c>
      <c r="B2" s="5">
        <f>COUNTA(C5:C55)</f>
        <v>51</v>
      </c>
      <c r="C2" s="4" t="s">
        <v>2</v>
      </c>
      <c r="D2" s="5">
        <f>COUNTIF(H5:H55,"Done")</f>
        <v>6</v>
      </c>
      <c r="E2" s="4" t="s">
        <v>3</v>
      </c>
      <c r="F2" s="6">
        <f>IFERROR(D2/B2,0)</f>
        <v>0.1176470588</v>
      </c>
      <c r="G2" s="4" t="s">
        <v>4</v>
      </c>
      <c r="H2" s="5">
        <f>COUNTIF(E5:E55,"Easy")</f>
        <v>5</v>
      </c>
      <c r="I2" s="4" t="s">
        <v>5</v>
      </c>
      <c r="J2" s="5">
        <f>COUNTIF(E5:E55,"Medium")</f>
        <v>35</v>
      </c>
      <c r="K2" s="4" t="s">
        <v>6</v>
      </c>
      <c r="L2" s="5">
        <f>COUNTIF(E5:E55,"Hard")</f>
        <v>11</v>
      </c>
    </row>
    <row r="4" ht="25.5" customHeight="1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7" t="s">
        <v>15</v>
      </c>
      <c r="J4" s="7" t="s">
        <v>16</v>
      </c>
      <c r="K4" s="7" t="s">
        <v>17</v>
      </c>
      <c r="L4" s="7" t="s">
        <v>18</v>
      </c>
    </row>
    <row r="5" ht="22.5" customHeight="1">
      <c r="A5" s="8">
        <v>1.0</v>
      </c>
      <c r="B5" s="9" t="s">
        <v>19</v>
      </c>
      <c r="C5" s="10" t="s">
        <v>20</v>
      </c>
      <c r="D5" s="10" t="s">
        <v>21</v>
      </c>
      <c r="E5" s="11" t="s">
        <v>5</v>
      </c>
      <c r="F5" s="8">
        <v>670.0</v>
      </c>
      <c r="G5" s="12" t="s">
        <v>22</v>
      </c>
      <c r="H5" s="13" t="s">
        <v>23</v>
      </c>
      <c r="I5" s="8">
        <v>0.0</v>
      </c>
      <c r="J5" s="14"/>
      <c r="K5" s="8"/>
      <c r="L5" s="10"/>
    </row>
    <row r="6" ht="22.5" customHeight="1">
      <c r="A6" s="15">
        <v>2.0</v>
      </c>
      <c r="B6" s="9" t="s">
        <v>19</v>
      </c>
      <c r="C6" s="16" t="s">
        <v>24</v>
      </c>
      <c r="D6" s="16" t="s">
        <v>25</v>
      </c>
      <c r="E6" s="17" t="s">
        <v>4</v>
      </c>
      <c r="F6" s="8">
        <v>392.0</v>
      </c>
      <c r="G6" s="12" t="s">
        <v>22</v>
      </c>
      <c r="H6" s="13" t="s">
        <v>23</v>
      </c>
      <c r="I6" s="8">
        <v>0.0</v>
      </c>
      <c r="J6" s="14"/>
      <c r="K6" s="8"/>
      <c r="L6" s="16"/>
    </row>
    <row r="7" ht="22.5" customHeight="1">
      <c r="A7" s="8">
        <v>3.0</v>
      </c>
      <c r="B7" s="9" t="s">
        <v>19</v>
      </c>
      <c r="C7" s="10" t="s">
        <v>26</v>
      </c>
      <c r="D7" s="10" t="s">
        <v>27</v>
      </c>
      <c r="E7" s="11" t="s">
        <v>5</v>
      </c>
      <c r="F7" s="8">
        <v>752.0</v>
      </c>
      <c r="G7" s="18" t="s">
        <v>22</v>
      </c>
      <c r="H7" s="13" t="s">
        <v>23</v>
      </c>
      <c r="I7" s="8">
        <v>0.0</v>
      </c>
      <c r="J7" s="14"/>
      <c r="K7" s="8"/>
      <c r="L7" s="10"/>
    </row>
    <row r="8" ht="22.5" customHeight="1">
      <c r="A8" s="19">
        <v>4.0</v>
      </c>
      <c r="B8" s="20" t="s">
        <v>19</v>
      </c>
      <c r="C8" s="20" t="s">
        <v>28</v>
      </c>
      <c r="D8" s="20" t="s">
        <v>29</v>
      </c>
      <c r="E8" s="21" t="s">
        <v>5</v>
      </c>
      <c r="F8" s="19">
        <v>3.0</v>
      </c>
      <c r="G8" s="22" t="s">
        <v>22</v>
      </c>
      <c r="H8" s="23" t="s">
        <v>2</v>
      </c>
      <c r="I8" s="19">
        <v>0.0</v>
      </c>
      <c r="J8" s="23" t="s">
        <v>5</v>
      </c>
      <c r="K8" s="19"/>
      <c r="L8" s="20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2.5" customHeight="1">
      <c r="A9" s="8">
        <v>5.0</v>
      </c>
      <c r="B9" s="9" t="s">
        <v>19</v>
      </c>
      <c r="C9" s="10" t="s">
        <v>30</v>
      </c>
      <c r="D9" s="10" t="s">
        <v>31</v>
      </c>
      <c r="E9" s="11" t="s">
        <v>5</v>
      </c>
      <c r="F9" s="8">
        <v>49.0</v>
      </c>
      <c r="G9" s="12" t="s">
        <v>22</v>
      </c>
      <c r="H9" s="13" t="s">
        <v>23</v>
      </c>
      <c r="I9" s="8">
        <v>0.0</v>
      </c>
      <c r="J9" s="14"/>
      <c r="K9" s="8"/>
      <c r="L9" s="10"/>
    </row>
    <row r="10" ht="22.5" customHeight="1">
      <c r="A10" s="15">
        <v>6.0</v>
      </c>
      <c r="B10" s="9" t="s">
        <v>19</v>
      </c>
      <c r="C10" s="16" t="s">
        <v>32</v>
      </c>
      <c r="D10" s="16" t="s">
        <v>33</v>
      </c>
      <c r="E10" s="11" t="s">
        <v>5</v>
      </c>
      <c r="F10" s="8">
        <v>560.0</v>
      </c>
      <c r="G10" s="12" t="s">
        <v>22</v>
      </c>
      <c r="H10" s="13" t="s">
        <v>23</v>
      </c>
      <c r="I10" s="8">
        <v>0.0</v>
      </c>
      <c r="J10" s="14"/>
      <c r="K10" s="8"/>
      <c r="L10" s="16"/>
    </row>
    <row r="11" ht="22.5" customHeight="1">
      <c r="A11" s="19">
        <v>7.0</v>
      </c>
      <c r="B11" s="20" t="s">
        <v>34</v>
      </c>
      <c r="C11" s="20" t="s">
        <v>35</v>
      </c>
      <c r="D11" s="20" t="s">
        <v>36</v>
      </c>
      <c r="E11" s="25" t="s">
        <v>6</v>
      </c>
      <c r="F11" s="19">
        <v>239.0</v>
      </c>
      <c r="G11" s="22" t="s">
        <v>22</v>
      </c>
      <c r="H11" s="23" t="s">
        <v>2</v>
      </c>
      <c r="I11" s="19">
        <v>0.0</v>
      </c>
      <c r="J11" s="23" t="s">
        <v>5</v>
      </c>
      <c r="K11" s="19"/>
      <c r="L11" s="20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15">
        <v>8.0</v>
      </c>
      <c r="B12" s="26" t="s">
        <v>34</v>
      </c>
      <c r="C12" s="16" t="s">
        <v>37</v>
      </c>
      <c r="D12" s="16" t="s">
        <v>38</v>
      </c>
      <c r="E12" s="11" t="s">
        <v>5</v>
      </c>
      <c r="F12" s="8">
        <v>692.0</v>
      </c>
      <c r="G12" s="12" t="s">
        <v>22</v>
      </c>
      <c r="H12" s="13" t="s">
        <v>23</v>
      </c>
      <c r="I12" s="8">
        <v>0.0</v>
      </c>
      <c r="J12" s="14"/>
      <c r="K12" s="8"/>
      <c r="L12" s="16"/>
    </row>
    <row r="13" ht="22.5" customHeight="1">
      <c r="A13" s="8">
        <v>9.0</v>
      </c>
      <c r="B13" s="26" t="s">
        <v>34</v>
      </c>
      <c r="C13" s="10" t="s">
        <v>39</v>
      </c>
      <c r="D13" s="10" t="s">
        <v>40</v>
      </c>
      <c r="E13" s="17" t="s">
        <v>4</v>
      </c>
      <c r="F13" s="8">
        <v>706.0</v>
      </c>
      <c r="G13" s="12" t="s">
        <v>22</v>
      </c>
      <c r="H13" s="13" t="s">
        <v>23</v>
      </c>
      <c r="I13" s="8">
        <v>0.0</v>
      </c>
      <c r="J13" s="14"/>
      <c r="K13" s="8"/>
      <c r="L13" s="10"/>
    </row>
    <row r="14" ht="22.5" customHeight="1">
      <c r="A14" s="15">
        <v>10.0</v>
      </c>
      <c r="B14" s="26" t="s">
        <v>34</v>
      </c>
      <c r="C14" s="16" t="s">
        <v>41</v>
      </c>
      <c r="D14" s="16" t="s">
        <v>42</v>
      </c>
      <c r="E14" s="17" t="s">
        <v>4</v>
      </c>
      <c r="F14" s="8">
        <v>70.0</v>
      </c>
      <c r="G14" s="12" t="s">
        <v>22</v>
      </c>
      <c r="H14" s="13" t="s">
        <v>23</v>
      </c>
      <c r="I14" s="8">
        <v>0.0</v>
      </c>
      <c r="J14" s="14"/>
      <c r="K14" s="8"/>
      <c r="L14" s="16"/>
    </row>
    <row r="15" ht="22.5" customHeight="1">
      <c r="A15" s="8">
        <v>11.0</v>
      </c>
      <c r="B15" s="26" t="s">
        <v>34</v>
      </c>
      <c r="C15" s="10" t="s">
        <v>43</v>
      </c>
      <c r="D15" s="10" t="s">
        <v>44</v>
      </c>
      <c r="E15" s="11" t="s">
        <v>5</v>
      </c>
      <c r="F15" s="8" t="s">
        <v>45</v>
      </c>
      <c r="G15" s="12" t="s">
        <v>22</v>
      </c>
      <c r="H15" s="13" t="s">
        <v>23</v>
      </c>
      <c r="I15" s="8">
        <v>0.0</v>
      </c>
      <c r="J15" s="14"/>
      <c r="K15" s="8"/>
      <c r="L15" s="10"/>
    </row>
    <row r="16" ht="22.5" customHeight="1">
      <c r="A16" s="15">
        <v>12.0</v>
      </c>
      <c r="B16" s="26" t="s">
        <v>34</v>
      </c>
      <c r="C16" s="16" t="s">
        <v>46</v>
      </c>
      <c r="D16" s="16" t="s">
        <v>47</v>
      </c>
      <c r="E16" s="11" t="s">
        <v>5</v>
      </c>
      <c r="F16" s="8">
        <v>128.0</v>
      </c>
      <c r="G16" s="12" t="s">
        <v>22</v>
      </c>
      <c r="H16" s="13" t="s">
        <v>23</v>
      </c>
      <c r="I16" s="8">
        <v>0.0</v>
      </c>
      <c r="J16" s="14"/>
      <c r="K16" s="8"/>
      <c r="L16" s="16"/>
    </row>
    <row r="17" ht="22.5" customHeight="1">
      <c r="A17" s="8">
        <v>13.0</v>
      </c>
      <c r="B17" s="26" t="s">
        <v>34</v>
      </c>
      <c r="C17" s="10" t="s">
        <v>48</v>
      </c>
      <c r="D17" s="10" t="s">
        <v>49</v>
      </c>
      <c r="E17" s="27" t="s">
        <v>6</v>
      </c>
      <c r="F17" s="8">
        <v>295.0</v>
      </c>
      <c r="G17" s="12" t="s">
        <v>22</v>
      </c>
      <c r="H17" s="13" t="s">
        <v>23</v>
      </c>
      <c r="I17" s="8">
        <v>0.0</v>
      </c>
      <c r="J17" s="14"/>
      <c r="K17" s="8"/>
      <c r="L17" s="10"/>
    </row>
    <row r="18" ht="22.5" customHeight="1">
      <c r="A18" s="15">
        <v>14.0</v>
      </c>
      <c r="B18" s="28" t="s">
        <v>50</v>
      </c>
      <c r="C18" s="16" t="s">
        <v>51</v>
      </c>
      <c r="D18" s="16" t="s">
        <v>52</v>
      </c>
      <c r="E18" s="11" t="s">
        <v>5</v>
      </c>
      <c r="F18" s="8">
        <v>79.0</v>
      </c>
      <c r="G18" s="12" t="s">
        <v>22</v>
      </c>
      <c r="H18" s="29" t="s">
        <v>2</v>
      </c>
      <c r="I18" s="8">
        <v>0.0</v>
      </c>
      <c r="J18" s="29" t="s">
        <v>5</v>
      </c>
      <c r="K18" s="8"/>
      <c r="L18" s="16"/>
    </row>
    <row r="19" ht="22.5" customHeight="1">
      <c r="A19" s="8">
        <v>15.0</v>
      </c>
      <c r="B19" s="28" t="s">
        <v>50</v>
      </c>
      <c r="C19" s="10" t="s">
        <v>53</v>
      </c>
      <c r="D19" s="10" t="s">
        <v>54</v>
      </c>
      <c r="E19" s="11" t="s">
        <v>5</v>
      </c>
      <c r="F19" s="8">
        <v>547.0</v>
      </c>
      <c r="G19" s="12" t="s">
        <v>22</v>
      </c>
      <c r="H19" s="13" t="s">
        <v>23</v>
      </c>
      <c r="I19" s="8">
        <v>0.0</v>
      </c>
      <c r="J19" s="14"/>
      <c r="K19" s="8"/>
      <c r="L19" s="10"/>
    </row>
    <row r="20" ht="22.5" customHeight="1">
      <c r="A20" s="15">
        <v>16.0</v>
      </c>
      <c r="B20" s="28" t="s">
        <v>50</v>
      </c>
      <c r="C20" s="16" t="s">
        <v>55</v>
      </c>
      <c r="D20" s="16" t="s">
        <v>56</v>
      </c>
      <c r="E20" s="11" t="s">
        <v>5</v>
      </c>
      <c r="F20" s="8">
        <v>173.0</v>
      </c>
      <c r="G20" s="12" t="s">
        <v>22</v>
      </c>
      <c r="H20" s="13" t="s">
        <v>23</v>
      </c>
      <c r="I20" s="8">
        <v>0.0</v>
      </c>
      <c r="J20" s="14"/>
      <c r="K20" s="8"/>
      <c r="L20" s="16"/>
    </row>
    <row r="21" ht="15.75" customHeight="1">
      <c r="A21" s="8">
        <v>17.0</v>
      </c>
      <c r="B21" s="28" t="s">
        <v>50</v>
      </c>
      <c r="C21" s="10" t="s">
        <v>57</v>
      </c>
      <c r="D21" s="10" t="s">
        <v>58</v>
      </c>
      <c r="E21" s="11" t="s">
        <v>5</v>
      </c>
      <c r="F21" s="8">
        <v>91.0</v>
      </c>
      <c r="G21" s="12" t="s">
        <v>22</v>
      </c>
      <c r="H21" s="13" t="s">
        <v>23</v>
      </c>
      <c r="I21" s="8">
        <v>0.0</v>
      </c>
      <c r="J21" s="14"/>
      <c r="K21" s="8"/>
      <c r="L21" s="10"/>
    </row>
    <row r="22" ht="15.75" customHeight="1">
      <c r="A22" s="15">
        <v>18.0</v>
      </c>
      <c r="B22" s="28" t="s">
        <v>50</v>
      </c>
      <c r="C22" s="16" t="s">
        <v>59</v>
      </c>
      <c r="D22" s="16" t="s">
        <v>60</v>
      </c>
      <c r="E22" s="11" t="s">
        <v>5</v>
      </c>
      <c r="F22" s="8">
        <v>39.0</v>
      </c>
      <c r="G22" s="12" t="s">
        <v>22</v>
      </c>
      <c r="H22" s="29" t="s">
        <v>2</v>
      </c>
      <c r="I22" s="8">
        <v>0.0</v>
      </c>
      <c r="J22" s="29" t="s">
        <v>5</v>
      </c>
      <c r="K22" s="8"/>
      <c r="L22" s="16"/>
    </row>
    <row r="23" ht="15.75" customHeight="1">
      <c r="A23" s="8">
        <v>19.0</v>
      </c>
      <c r="B23" s="28" t="s">
        <v>50</v>
      </c>
      <c r="C23" s="10" t="s">
        <v>61</v>
      </c>
      <c r="D23" s="10" t="s">
        <v>62</v>
      </c>
      <c r="E23" s="11" t="s">
        <v>5</v>
      </c>
      <c r="F23" s="8">
        <v>54.0</v>
      </c>
      <c r="G23" s="12" t="s">
        <v>22</v>
      </c>
      <c r="H23" s="13" t="s">
        <v>23</v>
      </c>
      <c r="I23" s="8">
        <v>0.0</v>
      </c>
      <c r="J23" s="14"/>
      <c r="K23" s="8"/>
      <c r="L23" s="10"/>
    </row>
    <row r="24" ht="15.75" customHeight="1">
      <c r="A24" s="15">
        <v>20.0</v>
      </c>
      <c r="B24" s="28" t="s">
        <v>50</v>
      </c>
      <c r="C24" s="16" t="s">
        <v>63</v>
      </c>
      <c r="D24" s="16" t="s">
        <v>64</v>
      </c>
      <c r="E24" s="11" t="s">
        <v>5</v>
      </c>
      <c r="F24" s="8">
        <v>92.0</v>
      </c>
      <c r="G24" s="12" t="s">
        <v>22</v>
      </c>
      <c r="H24" s="13" t="s">
        <v>23</v>
      </c>
      <c r="I24" s="8">
        <v>0.0</v>
      </c>
      <c r="J24" s="14"/>
      <c r="K24" s="8"/>
      <c r="L24" s="16"/>
    </row>
    <row r="25" ht="15.75" customHeight="1">
      <c r="A25" s="8">
        <v>21.0</v>
      </c>
      <c r="B25" s="28" t="s">
        <v>50</v>
      </c>
      <c r="C25" s="10" t="s">
        <v>65</v>
      </c>
      <c r="D25" s="10" t="s">
        <v>66</v>
      </c>
      <c r="E25" s="11" t="s">
        <v>5</v>
      </c>
      <c r="F25" s="8">
        <v>138.0</v>
      </c>
      <c r="G25" s="12" t="s">
        <v>22</v>
      </c>
      <c r="H25" s="13" t="s">
        <v>23</v>
      </c>
      <c r="I25" s="8">
        <v>0.0</v>
      </c>
      <c r="J25" s="14"/>
      <c r="K25" s="8"/>
      <c r="L25" s="10"/>
    </row>
    <row r="26" ht="15.75" customHeight="1">
      <c r="A26" s="15">
        <v>22.0</v>
      </c>
      <c r="B26" s="28" t="s">
        <v>50</v>
      </c>
      <c r="C26" s="16" t="s">
        <v>67</v>
      </c>
      <c r="D26" s="16" t="s">
        <v>68</v>
      </c>
      <c r="E26" s="11" t="s">
        <v>5</v>
      </c>
      <c r="F26" s="8">
        <v>98.0</v>
      </c>
      <c r="G26" s="12" t="s">
        <v>22</v>
      </c>
      <c r="H26" s="13" t="s">
        <v>23</v>
      </c>
      <c r="I26" s="8">
        <v>0.0</v>
      </c>
      <c r="J26" s="14"/>
      <c r="K26" s="8"/>
      <c r="L26" s="16"/>
    </row>
    <row r="27" ht="15.75" customHeight="1">
      <c r="A27" s="8">
        <v>23.0</v>
      </c>
      <c r="B27" s="28" t="s">
        <v>50</v>
      </c>
      <c r="C27" s="10" t="s">
        <v>69</v>
      </c>
      <c r="D27" s="10" t="s">
        <v>68</v>
      </c>
      <c r="E27" s="17" t="s">
        <v>4</v>
      </c>
      <c r="F27" s="8">
        <v>543.0</v>
      </c>
      <c r="G27" s="12" t="s">
        <v>22</v>
      </c>
      <c r="H27" s="13" t="s">
        <v>23</v>
      </c>
      <c r="I27" s="8">
        <v>0.0</v>
      </c>
      <c r="J27" s="14"/>
      <c r="K27" s="8"/>
      <c r="L27" s="10"/>
    </row>
    <row r="28" ht="15.75" customHeight="1">
      <c r="A28" s="15">
        <v>24.0</v>
      </c>
      <c r="B28" s="28" t="s">
        <v>50</v>
      </c>
      <c r="C28" s="16" t="s">
        <v>70</v>
      </c>
      <c r="D28" s="16" t="s">
        <v>71</v>
      </c>
      <c r="E28" s="11" t="s">
        <v>5</v>
      </c>
      <c r="F28" s="8">
        <v>437.0</v>
      </c>
      <c r="G28" s="12" t="s">
        <v>22</v>
      </c>
      <c r="H28" s="13" t="s">
        <v>23</v>
      </c>
      <c r="I28" s="8">
        <v>0.0</v>
      </c>
      <c r="J28" s="14"/>
      <c r="K28" s="8"/>
      <c r="L28" s="16"/>
    </row>
    <row r="29" ht="15.75" customHeight="1">
      <c r="A29" s="8">
        <v>25.0</v>
      </c>
      <c r="B29" s="28" t="s">
        <v>50</v>
      </c>
      <c r="C29" s="10" t="s">
        <v>72</v>
      </c>
      <c r="D29" s="10" t="s">
        <v>73</v>
      </c>
      <c r="E29" s="11" t="s">
        <v>5</v>
      </c>
      <c r="F29" s="8">
        <v>994.0</v>
      </c>
      <c r="G29" s="12" t="s">
        <v>22</v>
      </c>
      <c r="H29" s="29" t="s">
        <v>2</v>
      </c>
      <c r="I29" s="8">
        <v>0.0</v>
      </c>
      <c r="J29" s="29" t="s">
        <v>74</v>
      </c>
      <c r="K29" s="8"/>
      <c r="L29" s="10"/>
    </row>
    <row r="30" ht="15.75" customHeight="1">
      <c r="A30" s="15">
        <v>26.0</v>
      </c>
      <c r="B30" s="28" t="s">
        <v>50</v>
      </c>
      <c r="C30" s="16" t="s">
        <v>75</v>
      </c>
      <c r="D30" s="16" t="s">
        <v>76</v>
      </c>
      <c r="E30" s="11" t="s">
        <v>5</v>
      </c>
      <c r="F30" s="8">
        <v>721.0</v>
      </c>
      <c r="G30" s="12" t="s">
        <v>22</v>
      </c>
      <c r="H30" s="13" t="s">
        <v>23</v>
      </c>
      <c r="I30" s="8">
        <v>0.0</v>
      </c>
      <c r="J30" s="14"/>
      <c r="K30" s="8"/>
      <c r="L30" s="16"/>
    </row>
    <row r="31" ht="15.75" customHeight="1">
      <c r="A31" s="8">
        <v>27.0</v>
      </c>
      <c r="B31" s="28" t="s">
        <v>50</v>
      </c>
      <c r="C31" s="10" t="s">
        <v>77</v>
      </c>
      <c r="D31" s="10" t="s">
        <v>78</v>
      </c>
      <c r="E31" s="11" t="s">
        <v>5</v>
      </c>
      <c r="F31" s="8">
        <v>981.0</v>
      </c>
      <c r="G31" s="12" t="s">
        <v>22</v>
      </c>
      <c r="H31" s="13" t="s">
        <v>23</v>
      </c>
      <c r="I31" s="8">
        <v>0.0</v>
      </c>
      <c r="J31" s="14"/>
      <c r="K31" s="8"/>
      <c r="L31" s="10"/>
    </row>
    <row r="32" ht="15.75" customHeight="1">
      <c r="A32" s="15">
        <v>28.0</v>
      </c>
      <c r="B32" s="28" t="s">
        <v>50</v>
      </c>
      <c r="C32" s="16" t="s">
        <v>79</v>
      </c>
      <c r="D32" s="16" t="s">
        <v>80</v>
      </c>
      <c r="E32" s="11" t="s">
        <v>5</v>
      </c>
      <c r="F32" s="8">
        <v>380.0</v>
      </c>
      <c r="G32" s="12" t="s">
        <v>22</v>
      </c>
      <c r="H32" s="13" t="s">
        <v>23</v>
      </c>
      <c r="I32" s="8">
        <v>0.0</v>
      </c>
      <c r="J32" s="14"/>
      <c r="K32" s="8"/>
      <c r="L32" s="16"/>
    </row>
    <row r="33" ht="15.75" customHeight="1">
      <c r="A33" s="8">
        <v>29.0</v>
      </c>
      <c r="B33" s="28" t="s">
        <v>50</v>
      </c>
      <c r="C33" s="10" t="s">
        <v>81</v>
      </c>
      <c r="D33" s="10" t="s">
        <v>82</v>
      </c>
      <c r="E33" s="11" t="s">
        <v>5</v>
      </c>
      <c r="F33" s="8">
        <v>424.0</v>
      </c>
      <c r="G33" s="12" t="s">
        <v>22</v>
      </c>
      <c r="H33" s="29" t="s">
        <v>83</v>
      </c>
      <c r="I33" s="8">
        <v>0.0</v>
      </c>
      <c r="J33" s="29" t="s">
        <v>74</v>
      </c>
      <c r="K33" s="8"/>
      <c r="L33" s="10"/>
    </row>
    <row r="34" ht="15.75" customHeight="1">
      <c r="A34" s="15">
        <v>30.0</v>
      </c>
      <c r="B34" s="28" t="s">
        <v>50</v>
      </c>
      <c r="C34" s="16" t="s">
        <v>84</v>
      </c>
      <c r="D34" s="16" t="s">
        <v>85</v>
      </c>
      <c r="E34" s="27" t="s">
        <v>6</v>
      </c>
      <c r="F34" s="8">
        <v>76.0</v>
      </c>
      <c r="G34" s="12" t="s">
        <v>22</v>
      </c>
      <c r="H34" s="29" t="s">
        <v>83</v>
      </c>
      <c r="I34" s="8">
        <v>0.0</v>
      </c>
      <c r="J34" s="29" t="s">
        <v>74</v>
      </c>
      <c r="K34" s="8"/>
      <c r="L34" s="16"/>
    </row>
    <row r="35" ht="15.75" customHeight="1">
      <c r="A35" s="8">
        <v>31.0</v>
      </c>
      <c r="B35" s="28" t="s">
        <v>50</v>
      </c>
      <c r="C35" s="10" t="s">
        <v>86</v>
      </c>
      <c r="D35" s="10" t="s">
        <v>87</v>
      </c>
      <c r="E35" s="11" t="s">
        <v>5</v>
      </c>
      <c r="F35" s="8">
        <v>973.0</v>
      </c>
      <c r="G35" s="12" t="s">
        <v>22</v>
      </c>
      <c r="H35" s="13" t="s">
        <v>23</v>
      </c>
      <c r="I35" s="8">
        <v>0.0</v>
      </c>
      <c r="J35" s="14"/>
      <c r="K35" s="8"/>
      <c r="L35" s="10"/>
    </row>
    <row r="36" ht="15.75" customHeight="1">
      <c r="A36" s="15">
        <v>32.0</v>
      </c>
      <c r="B36" s="28" t="s">
        <v>50</v>
      </c>
      <c r="C36" s="16" t="s">
        <v>88</v>
      </c>
      <c r="D36" s="16" t="s">
        <v>89</v>
      </c>
      <c r="E36" s="11" t="s">
        <v>5</v>
      </c>
      <c r="F36" s="8">
        <v>739.0</v>
      </c>
      <c r="G36" s="12" t="s">
        <v>22</v>
      </c>
      <c r="H36" s="13" t="s">
        <v>23</v>
      </c>
      <c r="I36" s="8">
        <v>0.0</v>
      </c>
      <c r="J36" s="14"/>
      <c r="K36" s="8"/>
      <c r="L36" s="16"/>
    </row>
    <row r="37" ht="15.75" customHeight="1">
      <c r="A37" s="8">
        <v>33.0</v>
      </c>
      <c r="B37" s="28" t="s">
        <v>50</v>
      </c>
      <c r="C37" s="10" t="s">
        <v>90</v>
      </c>
      <c r="D37" s="10" t="s">
        <v>91</v>
      </c>
      <c r="E37" s="11" t="s">
        <v>5</v>
      </c>
      <c r="F37" s="8">
        <v>150.0</v>
      </c>
      <c r="G37" s="12" t="s">
        <v>22</v>
      </c>
      <c r="H37" s="13" t="s">
        <v>23</v>
      </c>
      <c r="I37" s="8">
        <v>0.0</v>
      </c>
      <c r="J37" s="14"/>
      <c r="K37" s="8"/>
      <c r="L37" s="10"/>
    </row>
    <row r="38" ht="15.75" customHeight="1">
      <c r="A38" s="15">
        <v>34.0</v>
      </c>
      <c r="B38" s="28" t="s">
        <v>50</v>
      </c>
      <c r="C38" s="16" t="s">
        <v>92</v>
      </c>
      <c r="D38" s="16" t="s">
        <v>93</v>
      </c>
      <c r="E38" s="11" t="s">
        <v>5</v>
      </c>
      <c r="F38" s="8">
        <v>11.0</v>
      </c>
      <c r="G38" s="12" t="s">
        <v>22</v>
      </c>
      <c r="H38" s="13" t="s">
        <v>23</v>
      </c>
      <c r="I38" s="8">
        <v>0.0</v>
      </c>
      <c r="J38" s="14"/>
      <c r="K38" s="8"/>
      <c r="L38" s="16"/>
    </row>
    <row r="39" ht="15.75" customHeight="1">
      <c r="A39" s="8">
        <v>35.0</v>
      </c>
      <c r="B39" s="28" t="s">
        <v>50</v>
      </c>
      <c r="C39" s="10" t="s">
        <v>94</v>
      </c>
      <c r="D39" s="10" t="s">
        <v>95</v>
      </c>
      <c r="E39" s="11" t="s">
        <v>5</v>
      </c>
      <c r="F39" s="8">
        <v>15.0</v>
      </c>
      <c r="G39" s="12" t="s">
        <v>22</v>
      </c>
      <c r="H39" s="13" t="s">
        <v>23</v>
      </c>
      <c r="I39" s="8">
        <v>0.0</v>
      </c>
      <c r="J39" s="14"/>
      <c r="K39" s="8"/>
      <c r="L39" s="10"/>
    </row>
    <row r="40" ht="15.75" customHeight="1">
      <c r="A40" s="15">
        <v>36.0</v>
      </c>
      <c r="B40" s="28" t="s">
        <v>50</v>
      </c>
      <c r="C40" s="16" t="s">
        <v>96</v>
      </c>
      <c r="D40" s="16" t="s">
        <v>97</v>
      </c>
      <c r="E40" s="11" t="s">
        <v>5</v>
      </c>
      <c r="F40" s="8">
        <v>2.0</v>
      </c>
      <c r="G40" s="12" t="s">
        <v>22</v>
      </c>
      <c r="H40" s="13" t="s">
        <v>23</v>
      </c>
      <c r="I40" s="8">
        <v>0.0</v>
      </c>
      <c r="J40" s="14"/>
      <c r="K40" s="8"/>
      <c r="L40" s="16"/>
    </row>
    <row r="41" ht="15.75" customHeight="1">
      <c r="A41" s="8">
        <v>37.0</v>
      </c>
      <c r="B41" s="28" t="s">
        <v>50</v>
      </c>
      <c r="C41" s="10" t="s">
        <v>98</v>
      </c>
      <c r="D41" s="10" t="s">
        <v>68</v>
      </c>
      <c r="E41" s="11" t="s">
        <v>5</v>
      </c>
      <c r="F41" s="8">
        <v>114.0</v>
      </c>
      <c r="G41" s="12" t="s">
        <v>22</v>
      </c>
      <c r="H41" s="13" t="s">
        <v>23</v>
      </c>
      <c r="I41" s="8">
        <v>0.0</v>
      </c>
      <c r="J41" s="14"/>
      <c r="K41" s="8"/>
      <c r="L41" s="10"/>
    </row>
    <row r="42" ht="15.75" customHeight="1">
      <c r="A42" s="15">
        <v>38.0</v>
      </c>
      <c r="B42" s="30" t="s">
        <v>99</v>
      </c>
      <c r="C42" s="16" t="s">
        <v>100</v>
      </c>
      <c r="D42" s="16" t="s">
        <v>101</v>
      </c>
      <c r="E42" s="27" t="s">
        <v>6</v>
      </c>
      <c r="F42" s="8" t="s">
        <v>45</v>
      </c>
      <c r="G42" s="8" t="s">
        <v>45</v>
      </c>
      <c r="H42" s="13" t="s">
        <v>23</v>
      </c>
      <c r="I42" s="8">
        <v>0.0</v>
      </c>
      <c r="J42" s="14"/>
      <c r="K42" s="8"/>
      <c r="L42" s="16"/>
    </row>
    <row r="43" ht="15.75" customHeight="1">
      <c r="A43" s="8">
        <v>39.0</v>
      </c>
      <c r="B43" s="30" t="s">
        <v>99</v>
      </c>
      <c r="C43" s="10" t="s">
        <v>102</v>
      </c>
      <c r="D43" s="10" t="s">
        <v>103</v>
      </c>
      <c r="E43" s="11" t="s">
        <v>5</v>
      </c>
      <c r="F43" s="8" t="s">
        <v>45</v>
      </c>
      <c r="G43" s="8" t="s">
        <v>45</v>
      </c>
      <c r="H43" s="13" t="s">
        <v>23</v>
      </c>
      <c r="I43" s="8">
        <v>0.0</v>
      </c>
      <c r="J43" s="14"/>
      <c r="K43" s="8"/>
      <c r="L43" s="10"/>
    </row>
    <row r="44" ht="15.75" customHeight="1">
      <c r="A44" s="15">
        <v>40.0</v>
      </c>
      <c r="B44" s="30" t="s">
        <v>99</v>
      </c>
      <c r="C44" s="16" t="s">
        <v>104</v>
      </c>
      <c r="D44" s="16" t="s">
        <v>105</v>
      </c>
      <c r="E44" s="27" t="s">
        <v>6</v>
      </c>
      <c r="F44" s="8" t="s">
        <v>45</v>
      </c>
      <c r="G44" s="8" t="s">
        <v>45</v>
      </c>
      <c r="H44" s="13" t="s">
        <v>23</v>
      </c>
      <c r="I44" s="8">
        <v>0.0</v>
      </c>
      <c r="J44" s="14"/>
      <c r="K44" s="8"/>
      <c r="L44" s="16"/>
    </row>
    <row r="45" ht="15.75" customHeight="1">
      <c r="A45" s="8">
        <v>41.0</v>
      </c>
      <c r="B45" s="30" t="s">
        <v>99</v>
      </c>
      <c r="C45" s="10" t="s">
        <v>106</v>
      </c>
      <c r="D45" s="10" t="s">
        <v>103</v>
      </c>
      <c r="E45" s="11" t="s">
        <v>5</v>
      </c>
      <c r="F45" s="8" t="s">
        <v>45</v>
      </c>
      <c r="G45" s="8" t="s">
        <v>45</v>
      </c>
      <c r="H45" s="13" t="s">
        <v>23</v>
      </c>
      <c r="I45" s="8">
        <v>0.0</v>
      </c>
      <c r="J45" s="14"/>
      <c r="K45" s="8"/>
      <c r="L45" s="10"/>
    </row>
    <row r="46" ht="15.75" customHeight="1">
      <c r="A46" s="15">
        <v>42.0</v>
      </c>
      <c r="B46" s="30" t="s">
        <v>99</v>
      </c>
      <c r="C46" s="16" t="s">
        <v>107</v>
      </c>
      <c r="D46" s="16" t="s">
        <v>108</v>
      </c>
      <c r="E46" s="11" t="s">
        <v>5</v>
      </c>
      <c r="F46" s="8" t="s">
        <v>45</v>
      </c>
      <c r="G46" s="8" t="s">
        <v>45</v>
      </c>
      <c r="H46" s="13" t="s">
        <v>23</v>
      </c>
      <c r="I46" s="8">
        <v>0.0</v>
      </c>
      <c r="J46" s="14"/>
      <c r="K46" s="8"/>
      <c r="L46" s="16"/>
    </row>
    <row r="47" ht="15.75" customHeight="1">
      <c r="A47" s="8">
        <v>43.0</v>
      </c>
      <c r="B47" s="31" t="s">
        <v>109</v>
      </c>
      <c r="C47" s="10" t="s">
        <v>110</v>
      </c>
      <c r="D47" s="10" t="s">
        <v>111</v>
      </c>
      <c r="E47" s="27" t="s">
        <v>6</v>
      </c>
      <c r="F47" s="8" t="s">
        <v>45</v>
      </c>
      <c r="G47" s="8" t="s">
        <v>45</v>
      </c>
      <c r="H47" s="13" t="s">
        <v>23</v>
      </c>
      <c r="I47" s="8">
        <v>0.0</v>
      </c>
      <c r="J47" s="14"/>
      <c r="K47" s="8"/>
      <c r="L47" s="10"/>
    </row>
    <row r="48" ht="15.75" customHeight="1">
      <c r="A48" s="15">
        <v>44.0</v>
      </c>
      <c r="B48" s="31" t="s">
        <v>109</v>
      </c>
      <c r="C48" s="16" t="s">
        <v>112</v>
      </c>
      <c r="D48" s="16" t="s">
        <v>111</v>
      </c>
      <c r="E48" s="27" t="s">
        <v>6</v>
      </c>
      <c r="F48" s="8" t="s">
        <v>45</v>
      </c>
      <c r="G48" s="8" t="s">
        <v>45</v>
      </c>
      <c r="H48" s="13" t="s">
        <v>23</v>
      </c>
      <c r="I48" s="8">
        <v>0.0</v>
      </c>
      <c r="J48" s="14"/>
      <c r="K48" s="8"/>
      <c r="L48" s="16"/>
    </row>
    <row r="49" ht="15.75" customHeight="1">
      <c r="A49" s="8">
        <v>45.0</v>
      </c>
      <c r="B49" s="31" t="s">
        <v>109</v>
      </c>
      <c r="C49" s="10" t="s">
        <v>113</v>
      </c>
      <c r="D49" s="10" t="s">
        <v>111</v>
      </c>
      <c r="E49" s="27" t="s">
        <v>6</v>
      </c>
      <c r="F49" s="8" t="s">
        <v>45</v>
      </c>
      <c r="G49" s="8" t="s">
        <v>45</v>
      </c>
      <c r="H49" s="13" t="s">
        <v>23</v>
      </c>
      <c r="I49" s="8">
        <v>0.0</v>
      </c>
      <c r="J49" s="14"/>
      <c r="K49" s="8"/>
      <c r="L49" s="10"/>
    </row>
    <row r="50" ht="15.75" customHeight="1">
      <c r="A50" s="15">
        <v>46.0</v>
      </c>
      <c r="B50" s="28" t="s">
        <v>50</v>
      </c>
      <c r="C50" s="16" t="s">
        <v>114</v>
      </c>
      <c r="D50" s="16" t="s">
        <v>64</v>
      </c>
      <c r="E50" s="11" t="s">
        <v>5</v>
      </c>
      <c r="F50" s="8">
        <v>61.0</v>
      </c>
      <c r="G50" s="12" t="s">
        <v>22</v>
      </c>
      <c r="H50" s="13" t="s">
        <v>23</v>
      </c>
      <c r="I50" s="8">
        <v>0.0</v>
      </c>
      <c r="J50" s="14"/>
      <c r="K50" s="8"/>
      <c r="L50" s="16"/>
    </row>
    <row r="51" ht="15.75" customHeight="1">
      <c r="A51" s="8">
        <v>47.0</v>
      </c>
      <c r="B51" s="28" t="s">
        <v>50</v>
      </c>
      <c r="C51" s="10" t="s">
        <v>115</v>
      </c>
      <c r="D51" s="10" t="s">
        <v>116</v>
      </c>
      <c r="E51" s="27" t="s">
        <v>6</v>
      </c>
      <c r="F51" s="8">
        <v>305.0</v>
      </c>
      <c r="G51" s="12" t="s">
        <v>22</v>
      </c>
      <c r="H51" s="13" t="s">
        <v>23</v>
      </c>
      <c r="I51" s="8">
        <v>0.0</v>
      </c>
      <c r="J51" s="14"/>
      <c r="K51" s="8"/>
      <c r="L51" s="10"/>
    </row>
    <row r="52" ht="15.75" customHeight="1">
      <c r="A52" s="15">
        <v>48.0</v>
      </c>
      <c r="B52" s="28" t="s">
        <v>50</v>
      </c>
      <c r="C52" s="16" t="s">
        <v>117</v>
      </c>
      <c r="D52" s="16" t="s">
        <v>118</v>
      </c>
      <c r="E52" s="11" t="s">
        <v>5</v>
      </c>
      <c r="F52" s="8">
        <v>210.0</v>
      </c>
      <c r="G52" s="12" t="s">
        <v>22</v>
      </c>
      <c r="H52" s="29" t="s">
        <v>2</v>
      </c>
      <c r="I52" s="8">
        <v>0.0</v>
      </c>
      <c r="J52" s="29" t="s">
        <v>5</v>
      </c>
      <c r="K52" s="8"/>
      <c r="L52" s="16"/>
    </row>
    <row r="53" ht="15.75" customHeight="1">
      <c r="A53" s="8">
        <v>49.0</v>
      </c>
      <c r="B53" s="28" t="s">
        <v>50</v>
      </c>
      <c r="C53" s="10" t="s">
        <v>119</v>
      </c>
      <c r="D53" s="10" t="s">
        <v>120</v>
      </c>
      <c r="E53" s="27" t="s">
        <v>6</v>
      </c>
      <c r="F53" s="8">
        <v>329.0</v>
      </c>
      <c r="G53" s="12" t="s">
        <v>22</v>
      </c>
      <c r="H53" s="13" t="s">
        <v>23</v>
      </c>
      <c r="I53" s="8">
        <v>0.0</v>
      </c>
      <c r="J53" s="14"/>
      <c r="K53" s="8"/>
      <c r="L53" s="10"/>
    </row>
    <row r="54" ht="15.75" customHeight="1">
      <c r="A54" s="15">
        <v>50.0</v>
      </c>
      <c r="B54" s="28" t="s">
        <v>50</v>
      </c>
      <c r="C54" s="16" t="s">
        <v>121</v>
      </c>
      <c r="D54" s="16" t="s">
        <v>122</v>
      </c>
      <c r="E54" s="27" t="s">
        <v>6</v>
      </c>
      <c r="F54" s="8">
        <v>407.0</v>
      </c>
      <c r="G54" s="12" t="s">
        <v>22</v>
      </c>
      <c r="H54" s="13" t="s">
        <v>23</v>
      </c>
      <c r="I54" s="8">
        <v>0.0</v>
      </c>
      <c r="J54" s="14"/>
      <c r="K54" s="8"/>
      <c r="L54" s="16"/>
    </row>
    <row r="55" ht="15.75" customHeight="1">
      <c r="A55" s="8">
        <v>51.0</v>
      </c>
      <c r="B55" s="32" t="s">
        <v>123</v>
      </c>
      <c r="C55" s="10" t="s">
        <v>124</v>
      </c>
      <c r="D55" s="10" t="s">
        <v>125</v>
      </c>
      <c r="E55" s="17" t="s">
        <v>4</v>
      </c>
      <c r="F55" s="8">
        <v>3005.0</v>
      </c>
      <c r="G55" s="12" t="s">
        <v>22</v>
      </c>
      <c r="H55" s="13" t="s">
        <v>23</v>
      </c>
      <c r="I55" s="8">
        <v>0.0</v>
      </c>
      <c r="J55" s="14"/>
      <c r="K55" s="8"/>
      <c r="L55" s="10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A5:L55">
    <cfRule type="expression" dxfId="5" priority="1">
      <formula>$H5="Done"</formula>
    </cfRule>
  </conditionalFormatting>
  <conditionalFormatting sqref="A5:L55">
    <cfRule type="expression" dxfId="6" priority="2">
      <formula>$H5="In Progress"</formula>
    </cfRule>
  </conditionalFormatting>
  <conditionalFormatting sqref="A5:L55">
    <cfRule type="expression" dxfId="7" priority="3">
      <formula>$H5="Revise Again"</formula>
    </cfRule>
  </conditionalFormatting>
  <dataValidations>
    <dataValidation type="list" allowBlank="1" sqref="H5:H55">
      <formula1>"Not Started,In Progress,Done,Revise Again"</formula1>
    </dataValidation>
    <dataValidation type="list" allowBlank="1" sqref="J5:J55">
      <formula1>"Low,Medium,High"</formula1>
    </dataValidation>
  </dataValidations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  <hyperlink r:id="rId20" ref="G24"/>
    <hyperlink r:id="rId21" ref="G25"/>
    <hyperlink r:id="rId22" ref="G26"/>
    <hyperlink r:id="rId23" ref="G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G39"/>
    <hyperlink r:id="rId36" ref="G40"/>
    <hyperlink r:id="rId37" ref="G41"/>
    <hyperlink r:id="rId38" ref="G50"/>
    <hyperlink r:id="rId39" ref="G51"/>
    <hyperlink r:id="rId40" ref="G52"/>
    <hyperlink r:id="rId41" ref="G53"/>
    <hyperlink r:id="rId42" ref="G54"/>
    <hyperlink r:id="rId43" ref="G55"/>
  </hyperlinks>
  <printOptions/>
  <pageMargins bottom="1.0" footer="0.0" header="0.0" left="0.75" right="0.75" top="1.0"/>
  <pageSetup paperSize="9" orientation="portrait"/>
  <drawing r:id="rId44"/>
  <tableParts count="1">
    <tablePart r:id="rId46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2026-07-28T02:42:38Z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